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rum\Documents\Programming\Java\PCPP2024\week09\code-exercises\week09exercises\app\src\main\java\exercises09\Output\"/>
    </mc:Choice>
  </mc:AlternateContent>
  <xr:revisionPtr revIDLastSave="0" documentId="13_ncr:1_{F6AB555A-289B-4955-9B29-DB93937B35A4}" xr6:coauthVersionLast="47" xr6:coauthVersionMax="47" xr10:uidLastSave="{00000000-0000-0000-0000-000000000000}"/>
  <bookViews>
    <workbookView xWindow="-28920" yWindow="-120" windowWidth="29040" windowHeight="15840" xr2:uid="{A731453B-9AC7-4C78-B13D-B3C438737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G31" i="1"/>
  <c r="G32" i="1"/>
  <c r="G33" i="1"/>
  <c r="C33" i="1"/>
  <c r="D33" i="1"/>
  <c r="E33" i="1"/>
  <c r="F33" i="1"/>
  <c r="B33" i="1"/>
  <c r="B32" i="1"/>
  <c r="C32" i="1"/>
  <c r="D32" i="1"/>
  <c r="E32" i="1"/>
  <c r="F32" i="1"/>
  <c r="D31" i="1"/>
  <c r="C31" i="1"/>
  <c r="E31" i="1"/>
  <c r="F31" i="1"/>
  <c r="B31" i="1"/>
  <c r="C30" i="1"/>
  <c r="D30" i="1"/>
  <c r="E30" i="1"/>
  <c r="F30" i="1"/>
  <c r="B30" i="1"/>
  <c r="C20" i="1"/>
  <c r="D20" i="1"/>
  <c r="E20" i="1"/>
  <c r="F20" i="1"/>
  <c r="G20" i="1"/>
  <c r="B20" i="1"/>
  <c r="C19" i="1"/>
  <c r="D19" i="1"/>
  <c r="E19" i="1"/>
  <c r="F19" i="1"/>
  <c r="G19" i="1"/>
  <c r="B19" i="1"/>
  <c r="C18" i="1"/>
  <c r="B18" i="1"/>
  <c r="D18" i="1"/>
  <c r="E18" i="1"/>
  <c r="F18" i="1"/>
  <c r="G18" i="1"/>
  <c r="C17" i="1"/>
  <c r="D17" i="1"/>
  <c r="E17" i="1"/>
  <c r="F17" i="1"/>
  <c r="G17" i="1"/>
  <c r="B17" i="1"/>
</calcChain>
</file>

<file path=xl/sharedStrings.xml><?xml version="1.0" encoding="utf-8"?>
<sst xmlns="http://schemas.openxmlformats.org/spreadsheetml/2006/main" count="40" uniqueCount="20">
  <si>
    <t>No threads</t>
  </si>
  <si>
    <t>CAS</t>
  </si>
  <si>
    <t>Monitor</t>
  </si>
  <si>
    <t>With 8 threads</t>
  </si>
  <si>
    <t>Contention level</t>
  </si>
  <si>
    <t>LockStriping</t>
  </si>
  <si>
    <t>Message Passing</t>
  </si>
  <si>
    <t>Message Passing (no actual network)</t>
  </si>
  <si>
    <t>2 threads</t>
  </si>
  <si>
    <t>4 threads</t>
  </si>
  <si>
    <t>8 threads</t>
  </si>
  <si>
    <t>16 threads</t>
  </si>
  <si>
    <t>32 threads</t>
  </si>
  <si>
    <r>
      <t xml:space="preserve">In </t>
    </r>
    <r>
      <rPr>
        <b/>
        <sz val="11"/>
        <color theme="1"/>
        <rFont val="Aptos Narrow"/>
        <family val="2"/>
        <scheme val="minor"/>
      </rPr>
      <t>%</t>
    </r>
    <r>
      <rPr>
        <sz val="11"/>
        <color theme="1"/>
        <rFont val="Aptos Narrow"/>
        <family val="2"/>
        <scheme val="minor"/>
      </rPr>
      <t xml:space="preserve"> (where % means speedup compared to monitor pattern) -</t>
    </r>
    <r>
      <rPr>
        <b/>
        <sz val="11"/>
        <color theme="1"/>
        <rFont val="Aptos Narrow"/>
        <family val="2"/>
        <scheme val="minor"/>
      </rPr>
      <t xml:space="preserve"> tests countFactors+histogram</t>
    </r>
    <r>
      <rPr>
        <sz val="11"/>
        <color theme="1"/>
        <rFont val="Aptos Narrow"/>
        <family val="2"/>
        <scheme val="minor"/>
      </rPr>
      <t xml:space="preserve"> - </t>
    </r>
    <r>
      <rPr>
        <b/>
        <sz val="11"/>
        <color theme="1"/>
        <rFont val="Aptos Narrow"/>
        <family val="2"/>
        <scheme val="minor"/>
      </rPr>
      <t>Compares performance on histograms</t>
    </r>
  </si>
  <si>
    <r>
      <t xml:space="preserve">In </t>
    </r>
    <r>
      <rPr>
        <b/>
        <sz val="11"/>
        <color theme="1"/>
        <rFont val="Aptos Narrow"/>
        <family val="2"/>
        <scheme val="minor"/>
      </rPr>
      <t>%</t>
    </r>
    <r>
      <rPr>
        <sz val="11"/>
        <color theme="1"/>
        <rFont val="Aptos Narrow"/>
        <family val="2"/>
        <scheme val="minor"/>
      </rPr>
      <t xml:space="preserve"> (Where % means speedup compared to </t>
    </r>
    <r>
      <rPr>
        <b/>
        <sz val="11"/>
        <color theme="1"/>
        <rFont val="Aptos Narrow"/>
        <family val="2"/>
        <scheme val="minor"/>
      </rPr>
      <t>No-threads on itself</t>
    </r>
    <r>
      <rPr>
        <sz val="11"/>
        <color theme="1"/>
        <rFont val="Aptos Narrow"/>
        <family val="2"/>
        <scheme val="minor"/>
      </rPr>
      <t xml:space="preserve"> ) - does not test countFactors - Checks </t>
    </r>
    <r>
      <rPr>
        <b/>
        <sz val="11"/>
        <color theme="1"/>
        <rFont val="Aptos Narrow"/>
        <family val="2"/>
        <scheme val="minor"/>
      </rPr>
      <t>scalability</t>
    </r>
    <r>
      <rPr>
        <sz val="11"/>
        <color theme="1"/>
        <rFont val="Aptos Narrow"/>
        <family val="2"/>
        <scheme val="minor"/>
      </rPr>
      <t xml:space="preserve"> on its own datastructure</t>
    </r>
  </si>
  <si>
    <t>1 thread</t>
  </si>
  <si>
    <t>2. Version: No countFactors. Only increment (which is kinda sequential)</t>
  </si>
  <si>
    <t>1. Version: With CountFactors (highly parallelizable)</t>
  </si>
  <si>
    <t>Raw V.1</t>
  </si>
  <si>
    <t>Raw V.2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</si>
</sst>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9" fontId="0" fillId="0" borderId="0" xfId="1" applyFont="1"/>
    <xf numFmtId="9" fontId="1" fillId="0" borderId="0" xfId="1" applyFont="1"/>
    <xf numFmtId="9" fontId="2" fillId="0" borderId="0" xfId="1" applyFont="1"/>
    <xf numFmtId="0" fontId="3" fillId="0" borderId="0" xfId="0" applyFont="1"/>
    <xf numFmtId="0" fontId="0" fillId="0" borderId="0" xfId="1" applyNumberFormat="1" applyFont="1"/>
    <xf numFmtId="0" fontId="2" fillId="0" borderId="0" xfId="1" applyNumberFormat="1" applyFon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Comparison</a:t>
            </a:r>
            <a:r>
              <a:rPr lang="en-GB" b="1" baseline="0"/>
              <a:t> of synchronization techniques, </a:t>
            </a:r>
            <a:br>
              <a:rPr lang="en-GB" b="1" baseline="0"/>
            </a:br>
            <a:r>
              <a:rPr lang="en-GB" b="1" baseline="0"/>
              <a:t>with monitor pattern as baseline on each comparison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Sheet1!$B$16:$G$16</c:f>
              <c:strCache>
                <c:ptCount val="6"/>
                <c:pt idx="0">
                  <c:v>No threads</c:v>
                </c:pt>
                <c:pt idx="1">
                  <c:v>With 8 threads</c:v>
                </c:pt>
                <c:pt idx="2">
                  <c:v>10</c:v>
                </c:pt>
                <c:pt idx="3">
                  <c:v>100</c:v>
                </c:pt>
                <c:pt idx="4">
                  <c:v>1000</c:v>
                </c:pt>
                <c:pt idx="5">
                  <c:v>10000</c:v>
                </c:pt>
              </c:strCache>
            </c:strRef>
          </c:cat>
          <c:val>
            <c:numRef>
              <c:f>Sheet1!$B$17:$G$17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C-4C22-B795-E38A2A67338A}"/>
            </c:ext>
          </c:extLst>
        </c:ser>
        <c:ser>
          <c:idx val="1"/>
          <c:order val="1"/>
          <c:tx>
            <c:strRef>
              <c:f>Sheet1!$A$18</c:f>
              <c:strCache>
                <c:ptCount val="1"/>
                <c:pt idx="0">
                  <c:v>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Sheet1!$B$16:$G$16</c:f>
              <c:strCache>
                <c:ptCount val="6"/>
                <c:pt idx="0">
                  <c:v>No threads</c:v>
                </c:pt>
                <c:pt idx="1">
                  <c:v>With 8 threads</c:v>
                </c:pt>
                <c:pt idx="2">
                  <c:v>10</c:v>
                </c:pt>
                <c:pt idx="3">
                  <c:v>100</c:v>
                </c:pt>
                <c:pt idx="4">
                  <c:v>1000</c:v>
                </c:pt>
                <c:pt idx="5">
                  <c:v>10000</c:v>
                </c:pt>
              </c:strCache>
            </c:strRef>
          </c:cat>
          <c:val>
            <c:numRef>
              <c:f>Sheet1!$B$18:$G$18</c:f>
              <c:numCache>
                <c:formatCode>0%</c:formatCode>
                <c:ptCount val="6"/>
                <c:pt idx="0">
                  <c:v>1.0031048688131661</c:v>
                </c:pt>
                <c:pt idx="1">
                  <c:v>4.3711439028898011</c:v>
                </c:pt>
                <c:pt idx="2">
                  <c:v>3.0520758302125026</c:v>
                </c:pt>
                <c:pt idx="3">
                  <c:v>2.1660430207403971</c:v>
                </c:pt>
                <c:pt idx="4">
                  <c:v>1.977139720930549</c:v>
                </c:pt>
                <c:pt idx="5">
                  <c:v>1.6645427758326388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C-4C22-B795-E38A2A67338A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LockStriping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Sheet1!$B$19:$G$19</c:f>
              <c:numCache>
                <c:formatCode>0%</c:formatCode>
                <c:ptCount val="6"/>
                <c:pt idx="0">
                  <c:v>0.9621051658608103</c:v>
                </c:pt>
                <c:pt idx="1">
                  <c:v>1.960583741551952</c:v>
                </c:pt>
                <c:pt idx="2">
                  <c:v>1.9116748613352972</c:v>
                </c:pt>
                <c:pt idx="3">
                  <c:v>2.6673138271490657</c:v>
                </c:pt>
                <c:pt idx="4">
                  <c:v>3.4930445499704712</c:v>
                </c:pt>
                <c:pt idx="5">
                  <c:v>3.6669464414433857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6-4B5B-825A-E043117E7501}"/>
            </c:ext>
          </c:extLst>
        </c:ser>
        <c:ser>
          <c:idx val="3"/>
          <c:order val="3"/>
          <c:tx>
            <c:strRef>
              <c:f>Sheet1!$A$20</c:f>
              <c:strCache>
                <c:ptCount val="1"/>
                <c:pt idx="0">
                  <c:v>Message Passing (no actual network)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Sheet1!$B$20:$G$20</c:f>
              <c:numCache>
                <c:formatCode>0%</c:formatCode>
                <c:ptCount val="6"/>
                <c:pt idx="0">
                  <c:v>0.10378557042941011</c:v>
                </c:pt>
                <c:pt idx="1">
                  <c:v>0.75443845345809979</c:v>
                </c:pt>
                <c:pt idx="2">
                  <c:v>1.3618740234799775</c:v>
                </c:pt>
                <c:pt idx="3">
                  <c:v>5.1969979338510006</c:v>
                </c:pt>
                <c:pt idx="4">
                  <c:v>6.8871126157925557</c:v>
                </c:pt>
                <c:pt idx="5">
                  <c:v>6.5035616673674213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6-4B5B-825A-E043117E7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369664"/>
        <c:axId val="1071073264"/>
      </c:barChart>
      <c:catAx>
        <c:axId val="32336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0" i="1"/>
                  <a:t>------------------------Contention levels---------------------</a:t>
                </a:r>
              </a:p>
            </c:rich>
          </c:tx>
          <c:layout>
            <c:manualLayout>
              <c:xMode val="edge"/>
              <c:yMode val="edge"/>
              <c:x val="0.4544841958963049"/>
              <c:y val="0.86317741037933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71073264"/>
        <c:crosses val="autoZero"/>
        <c:auto val="1"/>
        <c:lblAlgn val="ctr"/>
        <c:lblOffset val="100"/>
        <c:noMultiLvlLbl val="0"/>
      </c:catAx>
      <c:valAx>
        <c:axId val="107107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 baseline="0"/>
                  <a:t>Speedup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2336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Comparison of synchronization techniques, as thread number increases,</a:t>
            </a:r>
            <a:r>
              <a:rPr lang="en-US" b="1" baseline="0"/>
              <a:t> with itself as baseline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Sheet1!$A$30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Sheet1!$B$29:$G$29</c:f>
              <c:strCache>
                <c:ptCount val="6"/>
                <c:pt idx="0">
                  <c:v>1 thread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16 threads</c:v>
                </c:pt>
                <c:pt idx="5">
                  <c:v>32 threads</c:v>
                </c:pt>
              </c:strCache>
            </c:strRef>
          </c:cat>
          <c:val>
            <c:numRef>
              <c:f>Sheet1!$B$30:$G$30</c:f>
              <c:numCache>
                <c:formatCode>0%</c:formatCode>
                <c:ptCount val="6"/>
                <c:pt idx="0">
                  <c:v>1</c:v>
                </c:pt>
                <c:pt idx="1">
                  <c:v>0.97652470550211989</c:v>
                </c:pt>
                <c:pt idx="2">
                  <c:v>1.8854885558895169</c:v>
                </c:pt>
                <c:pt idx="3">
                  <c:v>3.3848996917577581</c:v>
                </c:pt>
                <c:pt idx="4">
                  <c:v>3.9022386875822361</c:v>
                </c:pt>
                <c:pt idx="5">
                  <c:v>1.9880300157647421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9-4B18-A2B4-E5B0AD88D3B6}"/>
            </c:ext>
          </c:extLst>
        </c:ser>
        <c:ser>
          <c:idx val="1"/>
          <c:order val="1"/>
          <c:tx>
            <c:strRef>
              <c:f>Sheet1!$A$31</c:f>
              <c:strCache>
                <c:ptCount val="1"/>
                <c:pt idx="0">
                  <c:v>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Sheet1!$B$29:$G$29</c:f>
              <c:strCache>
                <c:ptCount val="6"/>
                <c:pt idx="0">
                  <c:v>1 thread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16 threads</c:v>
                </c:pt>
                <c:pt idx="5">
                  <c:v>32 threads</c:v>
                </c:pt>
              </c:strCache>
            </c:strRef>
          </c:cat>
          <c:val>
            <c:numRef>
              <c:f>Sheet1!$B$31:$G$31</c:f>
              <c:numCache>
                <c:formatCode>0%</c:formatCode>
                <c:ptCount val="6"/>
                <c:pt idx="0">
                  <c:v>1</c:v>
                </c:pt>
                <c:pt idx="1">
                  <c:v>0.96266325479379211</c:v>
                </c:pt>
                <c:pt idx="2">
                  <c:v>1.8598954721729974</c:v>
                </c:pt>
                <c:pt idx="3">
                  <c:v>3.2956615865204113</c:v>
                </c:pt>
                <c:pt idx="4">
                  <c:v>3.7621805052544084</c:v>
                </c:pt>
                <c:pt idx="5">
                  <c:v>1.9219777824117079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9-4B18-A2B4-E5B0AD88D3B6}"/>
            </c:ext>
          </c:extLst>
        </c:ser>
        <c:ser>
          <c:idx val="2"/>
          <c:order val="2"/>
          <c:tx>
            <c:strRef>
              <c:f>Sheet1!$A$32</c:f>
              <c:strCache>
                <c:ptCount val="1"/>
                <c:pt idx="0">
                  <c:v>LockStriping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Sheet1!$B$29:$G$29</c:f>
              <c:strCache>
                <c:ptCount val="6"/>
                <c:pt idx="0">
                  <c:v>1 thread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16 threads</c:v>
                </c:pt>
                <c:pt idx="5">
                  <c:v>32 threads</c:v>
                </c:pt>
              </c:strCache>
            </c:strRef>
          </c:cat>
          <c:val>
            <c:numRef>
              <c:f>Sheet1!$B$32:$G$32</c:f>
              <c:numCache>
                <c:formatCode>0%</c:formatCode>
                <c:ptCount val="6"/>
                <c:pt idx="0">
                  <c:v>1</c:v>
                </c:pt>
                <c:pt idx="1">
                  <c:v>1.8398989499801197</c:v>
                </c:pt>
                <c:pt idx="2">
                  <c:v>3.5293613995175219</c:v>
                </c:pt>
                <c:pt idx="3">
                  <c:v>6.7811255105269854</c:v>
                </c:pt>
                <c:pt idx="4">
                  <c:v>11.468543404512324</c:v>
                </c:pt>
                <c:pt idx="5">
                  <c:v>8.5878340418359898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39-4B18-A2B4-E5B0AD88D3B6}"/>
            </c:ext>
          </c:extLst>
        </c:ser>
        <c:ser>
          <c:idx val="3"/>
          <c:order val="3"/>
          <c:tx>
            <c:strRef>
              <c:f>Sheet1!$A$33</c:f>
              <c:strCache>
                <c:ptCount val="1"/>
                <c:pt idx="0">
                  <c:v>Message Passing (no actual network)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Sheet1!$B$29:$G$29</c:f>
              <c:strCache>
                <c:ptCount val="6"/>
                <c:pt idx="0">
                  <c:v>1 thread</c:v>
                </c:pt>
                <c:pt idx="1">
                  <c:v>2 threads</c:v>
                </c:pt>
                <c:pt idx="2">
                  <c:v>4 threads</c:v>
                </c:pt>
                <c:pt idx="3">
                  <c:v>8 threads</c:v>
                </c:pt>
                <c:pt idx="4">
                  <c:v>16 threads</c:v>
                </c:pt>
                <c:pt idx="5">
                  <c:v>32 threads</c:v>
                </c:pt>
              </c:strCache>
            </c:strRef>
          </c:cat>
          <c:val>
            <c:numRef>
              <c:f>Sheet1!$B$33:$G$33</c:f>
              <c:numCache>
                <c:formatCode>0%</c:formatCode>
                <c:ptCount val="6"/>
                <c:pt idx="0">
                  <c:v>1</c:v>
                </c:pt>
                <c:pt idx="1">
                  <c:v>2.0556373957904119</c:v>
                </c:pt>
                <c:pt idx="2">
                  <c:v>4.2801515458459898</c:v>
                </c:pt>
                <c:pt idx="3">
                  <c:v>8.404458534173088</c:v>
                </c:pt>
                <c:pt idx="4">
                  <c:v>15.265006081776699</c:v>
                </c:pt>
                <c:pt idx="5">
                  <c:v>29.756024320420039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39-4B18-A2B4-E5B0AD88D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460176"/>
        <c:axId val="1046457776"/>
      </c:barChart>
      <c:catAx>
        <c:axId val="10464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46457776"/>
        <c:crosses val="autoZero"/>
        <c:auto val="1"/>
        <c:lblAlgn val="ctr"/>
        <c:lblOffset val="100"/>
        <c:noMultiLvlLbl val="0"/>
      </c:catAx>
      <c:valAx>
        <c:axId val="10464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0464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630328</xdr:colOff>
      <xdr:row>2</xdr:row>
      <xdr:rowOff>158486</xdr:rowOff>
    </xdr:from>
    <xdr:to>
      <xdr:col>16</xdr:col>
      <xdr:colOff>410749</xdr:colOff>
      <xdr:row>24</xdr:row>
      <xdr:rowOff>143694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09DC7-FCA1-CD1C-560D-2C9741B31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692392</xdr:colOff>
      <xdr:row>25</xdr:row>
      <xdr:rowOff>42494</xdr:rowOff>
    </xdr:from>
    <xdr:to>
      <xdr:col>16</xdr:col>
      <xdr:colOff>505556</xdr:colOff>
      <xdr:row>40</xdr:row>
      <xdr:rowOff>21979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520649-B596-2FD1-A000-C8063C843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0A74-C7A2-48F1-9554-2A8B0CEDF37A}">
  <dimension ref="A4:I33"/>
  <sheetViews>
    <sheetView tabSelected="1" topLeftCell="A9" zoomScale="130" zoomScaleNormal="130" workbookViewId="0">
      <selection activeCell="H21" sqref="H21"/>
    </sheetView>
  </sheetViews>
  <sheetFormatPr defaultRowHeight="15" x14ac:dyDescent="0.25"/>
  <cols>
    <col min="1" max="1" width="37" customWidth="1"/>
    <col min="2" max="2" width="12.7109375" bestFit="1" customWidth="1"/>
    <col min="3" max="3" width="13.85546875" customWidth="1"/>
    <col min="4" max="5" width="10.85546875" bestFit="1" customWidth="1"/>
    <col min="6" max="6" width="14.28515625" bestFit="1" customWidth="1"/>
    <col min="7" max="7" width="23.42578125" customWidth="1"/>
    <col min="8" max="8" width="12.85546875" bestFit="1" customWidth="1"/>
  </cols>
  <sheetData>
    <row r="4" spans="1:9" x14ac:dyDescent="0.25">
      <c r="A4" s="1" t="s">
        <v>17</v>
      </c>
    </row>
    <row r="5" spans="1:9" x14ac:dyDescent="0.25">
      <c r="A5" s="1" t="s">
        <v>16</v>
      </c>
    </row>
    <row r="7" spans="1:9" x14ac:dyDescent="0.25">
      <c r="A7" s="10" t="s">
        <v>18</v>
      </c>
      <c r="B7" s="10"/>
      <c r="C7" s="10"/>
      <c r="D7" s="10"/>
      <c r="E7" s="10"/>
      <c r="F7" s="10"/>
      <c r="G7" s="10"/>
    </row>
    <row r="8" spans="1:9" x14ac:dyDescent="0.25">
      <c r="D8" s="9" t="s">
        <v>4</v>
      </c>
      <c r="E8" s="9"/>
      <c r="F8" s="9"/>
    </row>
    <row r="9" spans="1:9" x14ac:dyDescent="0.25">
      <c r="B9" s="1" t="s">
        <v>0</v>
      </c>
      <c r="C9" s="1" t="s">
        <v>3</v>
      </c>
      <c r="D9" s="1">
        <v>10</v>
      </c>
      <c r="E9" s="1">
        <v>100</v>
      </c>
      <c r="F9" s="1">
        <v>1000</v>
      </c>
      <c r="G9" s="1">
        <v>10000</v>
      </c>
      <c r="H9" s="1"/>
    </row>
    <row r="10" spans="1:9" x14ac:dyDescent="0.25">
      <c r="A10" s="1" t="s">
        <v>2</v>
      </c>
      <c r="B10">
        <v>9700967</v>
      </c>
      <c r="C10">
        <v>9886120</v>
      </c>
      <c r="D10">
        <v>18503988</v>
      </c>
      <c r="E10">
        <v>87713767</v>
      </c>
      <c r="F10">
        <v>1046411775</v>
      </c>
      <c r="G10">
        <v>8069342005</v>
      </c>
      <c r="I10" s="1"/>
    </row>
    <row r="11" spans="1:9" x14ac:dyDescent="0.25">
      <c r="A11" s="1" t="s">
        <v>1</v>
      </c>
      <c r="B11">
        <v>9670940</v>
      </c>
      <c r="C11">
        <v>2261678</v>
      </c>
      <c r="D11">
        <v>6062755</v>
      </c>
      <c r="E11">
        <v>40494933</v>
      </c>
      <c r="F11">
        <v>529255350</v>
      </c>
      <c r="G11">
        <v>4847782900</v>
      </c>
      <c r="H11" s="1"/>
    </row>
    <row r="12" spans="1:9" x14ac:dyDescent="0.25">
      <c r="A12" s="1" t="s">
        <v>5</v>
      </c>
      <c r="B12">
        <v>10083063</v>
      </c>
      <c r="C12">
        <v>5042437</v>
      </c>
      <c r="D12">
        <v>9679464</v>
      </c>
      <c r="E12">
        <v>32884682</v>
      </c>
      <c r="F12">
        <v>299570120</v>
      </c>
      <c r="G12">
        <v>2200561730</v>
      </c>
      <c r="H12" s="1"/>
    </row>
    <row r="13" spans="1:9" x14ac:dyDescent="0.25">
      <c r="A13" s="1" t="s">
        <v>6</v>
      </c>
      <c r="B13">
        <v>93471250</v>
      </c>
      <c r="C13">
        <v>13103945</v>
      </c>
      <c r="D13">
        <v>13587151</v>
      </c>
      <c r="E13">
        <v>16877776</v>
      </c>
      <c r="F13">
        <v>151937660</v>
      </c>
      <c r="G13">
        <v>1240757360</v>
      </c>
      <c r="H13" s="1"/>
    </row>
    <row r="14" spans="1:9" x14ac:dyDescent="0.25">
      <c r="A14" s="8" t="s">
        <v>13</v>
      </c>
      <c r="B14" s="8"/>
      <c r="C14" s="8"/>
      <c r="D14" s="8"/>
      <c r="E14" s="8"/>
      <c r="F14" s="8"/>
      <c r="G14" s="8"/>
    </row>
    <row r="15" spans="1:9" x14ac:dyDescent="0.25">
      <c r="D15" s="9" t="s">
        <v>4</v>
      </c>
      <c r="E15" s="9"/>
      <c r="F15" s="9"/>
    </row>
    <row r="16" spans="1:9" x14ac:dyDescent="0.25">
      <c r="B16" s="1" t="s">
        <v>0</v>
      </c>
      <c r="C16" s="1" t="s">
        <v>3</v>
      </c>
      <c r="D16" s="1">
        <v>10</v>
      </c>
      <c r="E16" s="1">
        <v>100</v>
      </c>
      <c r="F16" s="1">
        <v>1000</v>
      </c>
      <c r="G16" s="1">
        <v>10000</v>
      </c>
      <c r="H16" s="1"/>
    </row>
    <row r="17" spans="1:9" x14ac:dyDescent="0.25">
      <c r="A17" s="5" t="s">
        <v>2</v>
      </c>
      <c r="B17" s="2">
        <f t="shared" ref="B17:G17" si="0">B10/B10</f>
        <v>1</v>
      </c>
      <c r="C17" s="2">
        <f t="shared" si="0"/>
        <v>1</v>
      </c>
      <c r="D17" s="2">
        <f t="shared" si="0"/>
        <v>1</v>
      </c>
      <c r="E17" s="2">
        <f t="shared" si="0"/>
        <v>1</v>
      </c>
      <c r="F17" s="2">
        <f t="shared" si="0"/>
        <v>1</v>
      </c>
      <c r="G17" s="2">
        <f t="shared" si="0"/>
        <v>1</v>
      </c>
      <c r="H17" s="2"/>
    </row>
    <row r="18" spans="1:9" x14ac:dyDescent="0.25">
      <c r="A18" s="1" t="s">
        <v>1</v>
      </c>
      <c r="B18" s="4">
        <f t="shared" ref="B18:G18" si="1">B10/B11</f>
        <v>1.0031048688131661</v>
      </c>
      <c r="C18" s="4">
        <f t="shared" si="1"/>
        <v>4.3711439028898011</v>
      </c>
      <c r="D18" s="4">
        <f t="shared" si="1"/>
        <v>3.0520758302125026</v>
      </c>
      <c r="E18" s="4">
        <f t="shared" si="1"/>
        <v>2.1660430207403971</v>
      </c>
      <c r="F18" s="4">
        <f t="shared" si="1"/>
        <v>1.977139720930549</v>
      </c>
      <c r="G18" s="4">
        <f t="shared" si="1"/>
        <v>1.6645427758326388</v>
      </c>
      <c r="H18" s="3"/>
      <c r="I18" s="1"/>
    </row>
    <row r="19" spans="1:9" x14ac:dyDescent="0.25">
      <c r="A19" s="1" t="s">
        <v>5</v>
      </c>
      <c r="B19" s="4">
        <f t="shared" ref="B19:G19" si="2">B10/B12</f>
        <v>0.9621051658608103</v>
      </c>
      <c r="C19" s="4">
        <f t="shared" si="2"/>
        <v>1.960583741551952</v>
      </c>
      <c r="D19" s="4">
        <f t="shared" si="2"/>
        <v>1.9116748613352972</v>
      </c>
      <c r="E19" s="4">
        <f t="shared" si="2"/>
        <v>2.6673138271490657</v>
      </c>
      <c r="F19" s="4">
        <f t="shared" si="2"/>
        <v>3.4930445499704712</v>
      </c>
      <c r="G19" s="4">
        <f t="shared" si="2"/>
        <v>3.6669464414433857</v>
      </c>
    </row>
    <row r="20" spans="1:9" x14ac:dyDescent="0.25">
      <c r="A20" s="1" t="s">
        <v>7</v>
      </c>
      <c r="B20" s="4">
        <f t="shared" ref="B20:G20" si="3">B10/B13</f>
        <v>0.10378557042941011</v>
      </c>
      <c r="C20" s="4">
        <f t="shared" si="3"/>
        <v>0.75443845345809979</v>
      </c>
      <c r="D20" s="4">
        <f t="shared" si="3"/>
        <v>1.3618740234799775</v>
      </c>
      <c r="E20" s="4">
        <f t="shared" si="3"/>
        <v>5.1969979338510006</v>
      </c>
      <c r="F20" s="4">
        <f t="shared" si="3"/>
        <v>6.8871126157925557</v>
      </c>
      <c r="G20" s="4">
        <f t="shared" si="3"/>
        <v>6.5035616673674213</v>
      </c>
      <c r="H20" s="3"/>
    </row>
    <row r="21" spans="1:9" x14ac:dyDescent="0.25">
      <c r="A21" s="1"/>
      <c r="B21" s="4"/>
      <c r="C21" s="4"/>
      <c r="D21" s="4"/>
      <c r="E21" s="4"/>
      <c r="F21" s="4"/>
      <c r="G21" s="4"/>
      <c r="H21" s="3"/>
    </row>
    <row r="22" spans="1:9" x14ac:dyDescent="0.25">
      <c r="A22" s="10" t="s">
        <v>19</v>
      </c>
      <c r="B22" s="8"/>
      <c r="C22" s="8"/>
      <c r="D22" s="8"/>
      <c r="E22" s="8"/>
      <c r="F22" s="8"/>
      <c r="G22" s="8"/>
      <c r="H22" s="3"/>
    </row>
    <row r="23" spans="1:9" x14ac:dyDescent="0.25">
      <c r="B23" s="5" t="s">
        <v>15</v>
      </c>
      <c r="C23" s="1" t="s">
        <v>8</v>
      </c>
      <c r="D23" s="1" t="s">
        <v>9</v>
      </c>
      <c r="E23" s="1" t="s">
        <v>10</v>
      </c>
      <c r="F23" s="1" t="s">
        <v>11</v>
      </c>
      <c r="G23" s="1" t="s">
        <v>12</v>
      </c>
      <c r="H23" s="1"/>
      <c r="I23" s="1"/>
    </row>
    <row r="24" spans="1:9" x14ac:dyDescent="0.25">
      <c r="A24" s="1" t="s">
        <v>2</v>
      </c>
      <c r="B24" s="7">
        <v>2090839</v>
      </c>
      <c r="C24" s="6">
        <v>2141102</v>
      </c>
      <c r="D24" s="6">
        <v>1108911</v>
      </c>
      <c r="E24" s="6">
        <v>617696</v>
      </c>
      <c r="F24" s="6">
        <v>535805</v>
      </c>
      <c r="G24" s="6">
        <v>1051714</v>
      </c>
    </row>
    <row r="25" spans="1:9" x14ac:dyDescent="0.25">
      <c r="A25" s="1" t="s">
        <v>1</v>
      </c>
      <c r="B25" s="6">
        <v>2027725</v>
      </c>
      <c r="C25" s="7">
        <v>2106370</v>
      </c>
      <c r="D25" s="7">
        <v>1090236</v>
      </c>
      <c r="E25" s="7">
        <v>615271</v>
      </c>
      <c r="F25" s="7">
        <v>538976</v>
      </c>
      <c r="G25" s="7">
        <v>1055020</v>
      </c>
    </row>
    <row r="26" spans="1:9" x14ac:dyDescent="0.25">
      <c r="A26" s="1" t="s">
        <v>5</v>
      </c>
      <c r="B26">
        <v>9171635</v>
      </c>
      <c r="C26" s="7">
        <v>4984858</v>
      </c>
      <c r="D26" s="7">
        <v>2598667</v>
      </c>
      <c r="E26" s="7">
        <v>1352524</v>
      </c>
      <c r="F26" s="7">
        <v>799721</v>
      </c>
      <c r="G26" s="7">
        <v>1067980</v>
      </c>
    </row>
    <row r="27" spans="1:9" x14ac:dyDescent="0.25">
      <c r="A27" s="1" t="s">
        <v>7</v>
      </c>
      <c r="B27" s="7">
        <v>967337940</v>
      </c>
      <c r="C27" s="7">
        <v>470578100</v>
      </c>
      <c r="D27" s="7">
        <v>226005535</v>
      </c>
      <c r="E27" s="7">
        <v>115098187</v>
      </c>
      <c r="F27" s="7">
        <v>63369640</v>
      </c>
      <c r="G27" s="7">
        <v>32508978</v>
      </c>
    </row>
    <row r="28" spans="1:9" x14ac:dyDescent="0.25">
      <c r="A28" s="8" t="s">
        <v>14</v>
      </c>
      <c r="B28" s="8"/>
      <c r="C28" s="8"/>
      <c r="D28" s="8"/>
      <c r="E28" s="8"/>
      <c r="F28" s="8"/>
      <c r="G28" s="8"/>
    </row>
    <row r="29" spans="1:9" x14ac:dyDescent="0.25">
      <c r="B29" s="5" t="s">
        <v>15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12</v>
      </c>
    </row>
    <row r="30" spans="1:9" x14ac:dyDescent="0.25">
      <c r="A30" s="1" t="s">
        <v>2</v>
      </c>
      <c r="B30" s="4">
        <f t="shared" ref="B30:G30" si="4">$B$24/B24</f>
        <v>1</v>
      </c>
      <c r="C30" s="4">
        <f t="shared" si="4"/>
        <v>0.97652470550211989</v>
      </c>
      <c r="D30" s="4">
        <f t="shared" si="4"/>
        <v>1.8854885558895169</v>
      </c>
      <c r="E30" s="4">
        <f t="shared" si="4"/>
        <v>3.3848996917577581</v>
      </c>
      <c r="F30" s="4">
        <f t="shared" si="4"/>
        <v>3.9022386875822361</v>
      </c>
      <c r="G30" s="4">
        <f t="shared" si="4"/>
        <v>1.9880300157647421</v>
      </c>
    </row>
    <row r="31" spans="1:9" x14ac:dyDescent="0.25">
      <c r="A31" s="1" t="s">
        <v>1</v>
      </c>
      <c r="B31" s="4">
        <f t="shared" ref="B31:G31" si="5">$B$25/B25</f>
        <v>1</v>
      </c>
      <c r="C31" s="4">
        <f t="shared" si="5"/>
        <v>0.96266325479379211</v>
      </c>
      <c r="D31" s="4">
        <f t="shared" si="5"/>
        <v>1.8598954721729974</v>
      </c>
      <c r="E31" s="4">
        <f t="shared" si="5"/>
        <v>3.2956615865204113</v>
      </c>
      <c r="F31" s="4">
        <f t="shared" si="5"/>
        <v>3.7621805052544084</v>
      </c>
      <c r="G31" s="4">
        <f t="shared" si="5"/>
        <v>1.9219777824117079</v>
      </c>
    </row>
    <row r="32" spans="1:9" x14ac:dyDescent="0.25">
      <c r="A32" s="1" t="s">
        <v>5</v>
      </c>
      <c r="B32" s="4">
        <f t="shared" ref="B32:G32" si="6">$B$26/B26</f>
        <v>1</v>
      </c>
      <c r="C32" s="4">
        <f t="shared" si="6"/>
        <v>1.8398989499801197</v>
      </c>
      <c r="D32" s="4">
        <f t="shared" si="6"/>
        <v>3.5293613995175219</v>
      </c>
      <c r="E32" s="4">
        <f t="shared" si="6"/>
        <v>6.7811255105269854</v>
      </c>
      <c r="F32" s="4">
        <f t="shared" si="6"/>
        <v>11.468543404512324</v>
      </c>
      <c r="G32" s="4">
        <f t="shared" si="6"/>
        <v>8.5878340418359898</v>
      </c>
    </row>
    <row r="33" spans="1:7" x14ac:dyDescent="0.25">
      <c r="A33" s="1" t="s">
        <v>7</v>
      </c>
      <c r="B33" s="4">
        <f t="shared" ref="B33:G33" si="7">$B$27/B27</f>
        <v>1</v>
      </c>
      <c r="C33" s="4">
        <f t="shared" si="7"/>
        <v>2.0556373957904119</v>
      </c>
      <c r="D33" s="4">
        <f t="shared" si="7"/>
        <v>4.2801515458459898</v>
      </c>
      <c r="E33" s="4">
        <f t="shared" si="7"/>
        <v>8.404458534173088</v>
      </c>
      <c r="F33" s="4">
        <f t="shared" si="7"/>
        <v>15.265006081776699</v>
      </c>
      <c r="G33" s="4">
        <f t="shared" si="7"/>
        <v>29.756024320420039</v>
      </c>
    </row>
  </sheetData>
  <mergeCells count="6">
    <mergeCell ref="A28:G28"/>
    <mergeCell ref="D8:F8"/>
    <mergeCell ref="D15:F15"/>
    <mergeCell ref="A7:G7"/>
    <mergeCell ref="A14:G14"/>
    <mergeCell ref="A22:G22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Grum</dc:creator>
  <cp:lastModifiedBy>Jacob Grum</cp:lastModifiedBy>
  <dcterms:created xsi:type="dcterms:W3CDTF">2025-01-07T08:21:43Z</dcterms:created>
  <dcterms:modified xsi:type="dcterms:W3CDTF">2025-01-12T15:40:55Z</dcterms:modified>
</cp:coreProperties>
</file>